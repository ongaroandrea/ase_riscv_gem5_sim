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ongaro/Documents/Documenti Andrea Ongaro/Magistrale/Torino/Corsi/2_ANNO/Architettura degli Elaboratori/Laboratori/ase_riscv_gem5_sim/programs/lab_04/"/>
    </mc:Choice>
  </mc:AlternateContent>
  <xr:revisionPtr revIDLastSave="0" documentId="13_ncr:1_{4751343B-00E9-A040-9426-32358C7C16A9}" xr6:coauthVersionLast="47" xr6:coauthVersionMax="47" xr10:uidLastSave="{00000000-0000-0000-0000-000000000000}"/>
  <bookViews>
    <workbookView xWindow="0" yWindow="880" windowWidth="36000" windowHeight="22500" activeTab="2" xr2:uid="{4D9255CE-E50E-824A-86AD-355A560F1708}"/>
  </bookViews>
  <sheets>
    <sheet name="Base" sheetId="1" r:id="rId1"/>
    <sheet name="IMPROVED" sheetId="2" r:id="rId2"/>
    <sheet name="UNROLLING" sheetId="3" r:id="rId3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8" i="3" l="1"/>
  <c r="AS22" i="3" s="1"/>
  <c r="AS18" i="2"/>
  <c r="AS22" i="2" s="1"/>
  <c r="AS22" i="1"/>
  <c r="AS18" i="1"/>
</calcChain>
</file>

<file path=xl/sharedStrings.xml><?xml version="1.0" encoding="utf-8"?>
<sst xmlns="http://schemas.openxmlformats.org/spreadsheetml/2006/main" count="795" uniqueCount="54">
  <si>
    <t xml:space="preserve">INTEGER_ALU_LATENCY = 1 </t>
  </si>
  <si>
    <t xml:space="preserve">INTEGER_MUL_LATENCY = 1 </t>
  </si>
  <si>
    <t xml:space="preserve">INTEGER_DIV_LATENCY = 1 </t>
  </si>
  <si>
    <t xml:space="preserve">FLOAT_ALU_LATENCY = 4 </t>
  </si>
  <si>
    <t xml:space="preserve">FLOAT_MUL_LATENCY = 8 </t>
  </si>
  <si>
    <t>FLOAT_DIV_LATENCY = 20</t>
  </si>
  <si>
    <t>loop:</t>
  </si>
  <si>
    <t>end_loop:</t>
  </si>
  <si>
    <t>set_zero:</t>
  </si>
  <si>
    <t>ecall</t>
  </si>
  <si>
    <t>li x1, 16</t>
  </si>
  <si>
    <t>li x2, 0</t>
  </si>
  <si>
    <t xml:space="preserve">la x21, RESULT </t>
  </si>
  <si>
    <t>flw f0, 0(x21)</t>
  </si>
  <si>
    <t>la x10, I</t>
  </si>
  <si>
    <t>la x11, W</t>
  </si>
  <si>
    <t>li x12, 0xAB</t>
  </si>
  <si>
    <t>li x13, 0xFF</t>
  </si>
  <si>
    <t>fcvt.s.w f1, x12</t>
  </si>
  <si>
    <t>flw f2, 0(x10)</t>
  </si>
  <si>
    <t>flw f3, 0(x11)</t>
  </si>
  <si>
    <t>fmul.s f4, f2, f3</t>
  </si>
  <si>
    <t>fadd.s f0, f0, f4</t>
  </si>
  <si>
    <t>addi x2, x2, 1</t>
  </si>
  <si>
    <t>addi x10, x10,4</t>
  </si>
  <si>
    <t>addi x11, x11,4</t>
  </si>
  <si>
    <t xml:space="preserve">bne x2, x1, loop </t>
  </si>
  <si>
    <t>fadd.s f0, f0, f1</t>
  </si>
  <si>
    <t xml:space="preserve">fmv.x.w x3, f0 </t>
  </si>
  <si>
    <t>srli x3, x3, 23</t>
  </si>
  <si>
    <t>andi x4, x3, 0xFF</t>
  </si>
  <si>
    <t>bne x4, x13, finish</t>
  </si>
  <si>
    <t>li x17, 0</t>
  </si>
  <si>
    <t>fmv.w.x f0, x17</t>
  </si>
  <si>
    <t>fsw f0, 0(x21)</t>
  </si>
  <si>
    <t>li a7, 93</t>
  </si>
  <si>
    <t>li a0, 0</t>
  </si>
  <si>
    <t>F</t>
  </si>
  <si>
    <t>D</t>
  </si>
  <si>
    <t>M</t>
  </si>
  <si>
    <t>X</t>
  </si>
  <si>
    <t>W</t>
  </si>
  <si>
    <t>PSEUDO</t>
  </si>
  <si>
    <t>S</t>
  </si>
  <si>
    <t>A</t>
  </si>
  <si>
    <t>P</t>
  </si>
  <si>
    <t>-</t>
  </si>
  <si>
    <t>LOOP</t>
  </si>
  <si>
    <t>INIT</t>
  </si>
  <si>
    <t>FIN</t>
  </si>
  <si>
    <t>flw f5, 0(x10)</t>
  </si>
  <si>
    <t>flw f6, 0(x11)</t>
  </si>
  <si>
    <t>fmul.s f7, f5, f6</t>
  </si>
  <si>
    <t>fadd.s f0, f0, 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</si>
</sst>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6A9955"/>
      <name val="Menlo"/>
      <family val="2"/>
    </font>
    <font>
      <sz val="16"/>
      <name val="Arial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0" xfId="0" applyBorder="1"/>
    <xf numFmtId="0" fontId="1" fillId="0" borderId="4" xfId="0" applyFont="1" applyBorder="1"/>
    <xf numFmtId="0" fontId="0" fillId="0" borderId="5" xfId="0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88900</xdr:colOff>
      <xdr:row>39</xdr:row>
      <xdr:rowOff>177800</xdr:rowOff>
    </xdr:from>
    <xdr:to>
      <xdr:col>53</xdr:col>
      <xdr:colOff>50800</xdr:colOff>
      <xdr:row>41</xdr:row>
      <xdr:rowOff>139700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F3FA074-A2D7-8D2C-18EC-731DF5790312}"/>
            </a:ext>
          </a:extLst>
        </xdr:cNvPr>
        <xdr:cNvSpPr/>
      </xdr:nvSpPr>
      <xdr:spPr>
        <a:xfrm>
          <a:off x="11137900" y="9626600"/>
          <a:ext cx="1905000" cy="469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ADDIZIONE IN FLOATING POINT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0AE7-DF58-B14F-89A7-9483ADD649CC}">
  <dimension ref="A1:DI48"/>
  <sheetViews>
    <sheetView topLeftCell="A7" workbookViewId="0">
      <selection activeCell="AO18" sqref="AO18"/>
    </sheetView>
  </sheetViews>
  <sheetFormatPr baseColWidth="10" defaultRowHeight="16" x14ac:dyDescent="0.2"/>
  <cols>
    <col min="1" max="1" width="23.1640625" customWidth="1"/>
    <col min="2" max="113" width="2.83203125" customWidth="1"/>
  </cols>
  <sheetData>
    <row r="1" spans="1:113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</row>
    <row r="2" spans="1:113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</row>
    <row r="3" spans="1:113" x14ac:dyDescent="0.2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</row>
    <row r="4" spans="1:113" x14ac:dyDescent="0.2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</row>
    <row r="5" spans="1:113" x14ac:dyDescent="0.2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3" x14ac:dyDescent="0.2">
      <c r="A6" s="5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</row>
    <row r="10" spans="1:113" ht="20" x14ac:dyDescent="0.2">
      <c r="A10" s="7" t="s">
        <v>10</v>
      </c>
      <c r="B10" t="s">
        <v>37</v>
      </c>
      <c r="C10" t="s">
        <v>38</v>
      </c>
      <c r="D10" t="s">
        <v>40</v>
      </c>
      <c r="E10" t="s">
        <v>39</v>
      </c>
      <c r="F10" t="s">
        <v>41</v>
      </c>
    </row>
    <row r="11" spans="1:113" ht="20" x14ac:dyDescent="0.2">
      <c r="A11" s="7" t="s">
        <v>11</v>
      </c>
      <c r="C11" t="s">
        <v>37</v>
      </c>
      <c r="D11" t="s">
        <v>38</v>
      </c>
      <c r="E11" t="s">
        <v>40</v>
      </c>
      <c r="F11" t="s">
        <v>39</v>
      </c>
      <c r="G11" t="s">
        <v>41</v>
      </c>
    </row>
    <row r="12" spans="1:113" ht="20" x14ac:dyDescent="0.2">
      <c r="A12" s="7" t="s">
        <v>12</v>
      </c>
      <c r="D12" t="s">
        <v>37</v>
      </c>
      <c r="E12" t="s">
        <v>38</v>
      </c>
      <c r="F12" t="s">
        <v>40</v>
      </c>
      <c r="G12" t="s">
        <v>39</v>
      </c>
      <c r="H12" t="s">
        <v>41</v>
      </c>
    </row>
    <row r="13" spans="1:113" ht="20" x14ac:dyDescent="0.2">
      <c r="A13" s="7" t="s">
        <v>42</v>
      </c>
      <c r="E13" t="s">
        <v>37</v>
      </c>
      <c r="F13" t="s">
        <v>38</v>
      </c>
      <c r="G13" t="s">
        <v>40</v>
      </c>
      <c r="H13" t="s">
        <v>39</v>
      </c>
      <c r="I13" t="s">
        <v>41</v>
      </c>
    </row>
    <row r="14" spans="1:113" ht="20" x14ac:dyDescent="0.2">
      <c r="A14" s="7" t="s">
        <v>13</v>
      </c>
      <c r="F14" s="8" t="s">
        <v>37</v>
      </c>
      <c r="G14" s="8" t="s">
        <v>38</v>
      </c>
      <c r="H14" s="8" t="s">
        <v>40</v>
      </c>
      <c r="I14" s="8" t="s">
        <v>39</v>
      </c>
      <c r="J14" s="8" t="s">
        <v>41</v>
      </c>
    </row>
    <row r="15" spans="1:113" ht="20" x14ac:dyDescent="0.2">
      <c r="A15" s="7"/>
    </row>
    <row r="16" spans="1:113" ht="20" x14ac:dyDescent="0.2">
      <c r="A16" s="7" t="s">
        <v>14</v>
      </c>
      <c r="G16" s="8" t="s">
        <v>37</v>
      </c>
      <c r="H16" s="8" t="s">
        <v>38</v>
      </c>
      <c r="I16" s="8" t="s">
        <v>40</v>
      </c>
      <c r="J16" s="8" t="s">
        <v>39</v>
      </c>
      <c r="K16" s="8" t="s">
        <v>41</v>
      </c>
    </row>
    <row r="17" spans="1:46" ht="20" x14ac:dyDescent="0.2">
      <c r="A17" s="7" t="s">
        <v>42</v>
      </c>
      <c r="H17" s="8" t="s">
        <v>37</v>
      </c>
      <c r="I17" s="8" t="s">
        <v>38</v>
      </c>
      <c r="J17" s="8" t="s">
        <v>40</v>
      </c>
      <c r="K17" s="8" t="s">
        <v>39</v>
      </c>
      <c r="L17" s="8" t="s">
        <v>41</v>
      </c>
      <c r="AL17" t="s">
        <v>48</v>
      </c>
      <c r="AS17" s="9">
        <v>15</v>
      </c>
      <c r="AT17" s="9"/>
    </row>
    <row r="18" spans="1:46" ht="20" x14ac:dyDescent="0.2">
      <c r="A18" s="7" t="s">
        <v>15</v>
      </c>
      <c r="I18" s="8" t="s">
        <v>37</v>
      </c>
      <c r="J18" s="8" t="s">
        <v>38</v>
      </c>
      <c r="K18" s="8" t="s">
        <v>40</v>
      </c>
      <c r="L18" s="8" t="s">
        <v>39</v>
      </c>
      <c r="M18" s="8" t="s">
        <v>41</v>
      </c>
      <c r="AL18" t="s">
        <v>47</v>
      </c>
      <c r="AO18">
        <v>16</v>
      </c>
      <c r="AQ18">
        <v>15</v>
      </c>
      <c r="AS18" s="9">
        <f>AO18*AQ18</f>
        <v>240</v>
      </c>
      <c r="AT18" s="9"/>
    </row>
    <row r="19" spans="1:46" ht="20" x14ac:dyDescent="0.2">
      <c r="A19" s="7" t="s">
        <v>42</v>
      </c>
      <c r="J19" s="8" t="s">
        <v>37</v>
      </c>
      <c r="K19" s="8" t="s">
        <v>38</v>
      </c>
      <c r="L19" s="8" t="s">
        <v>40</v>
      </c>
      <c r="M19" s="8" t="s">
        <v>39</v>
      </c>
      <c r="N19" s="8" t="s">
        <v>41</v>
      </c>
      <c r="AO19">
        <v>14</v>
      </c>
      <c r="AS19" s="9">
        <v>14</v>
      </c>
      <c r="AT19" s="9"/>
    </row>
    <row r="20" spans="1:46" ht="20" x14ac:dyDescent="0.2">
      <c r="A20" s="7" t="s">
        <v>16</v>
      </c>
      <c r="K20" s="8" t="s">
        <v>37</v>
      </c>
      <c r="L20" s="8" t="s">
        <v>38</v>
      </c>
      <c r="M20" s="8" t="s">
        <v>40</v>
      </c>
      <c r="N20" s="8" t="s">
        <v>39</v>
      </c>
      <c r="O20" s="8" t="s">
        <v>41</v>
      </c>
      <c r="AL20" t="s">
        <v>49</v>
      </c>
      <c r="AO20">
        <v>17</v>
      </c>
      <c r="AS20" s="9">
        <v>17</v>
      </c>
      <c r="AT20" s="9"/>
    </row>
    <row r="21" spans="1:46" ht="20" x14ac:dyDescent="0.2">
      <c r="A21" s="7" t="s">
        <v>17</v>
      </c>
      <c r="L21" s="8" t="s">
        <v>37</v>
      </c>
      <c r="M21" s="8" t="s">
        <v>38</v>
      </c>
      <c r="N21" s="8" t="s">
        <v>40</v>
      </c>
      <c r="O21" s="8" t="s">
        <v>39</v>
      </c>
      <c r="P21" s="8" t="s">
        <v>41</v>
      </c>
    </row>
    <row r="22" spans="1:46" ht="20" x14ac:dyDescent="0.2">
      <c r="A22" s="7" t="s">
        <v>18</v>
      </c>
      <c r="M22" s="8" t="s">
        <v>37</v>
      </c>
      <c r="N22" s="8" t="s">
        <v>38</v>
      </c>
      <c r="O22" t="s">
        <v>44</v>
      </c>
      <c r="P22" t="s">
        <v>44</v>
      </c>
      <c r="Q22" t="s">
        <v>44</v>
      </c>
      <c r="R22" t="s">
        <v>44</v>
      </c>
      <c r="S22" t="s">
        <v>39</v>
      </c>
      <c r="T22" t="s">
        <v>41</v>
      </c>
      <c r="AS22" s="9">
        <f>SUM(AS17:AT20)</f>
        <v>286</v>
      </c>
      <c r="AT22" s="9"/>
    </row>
    <row r="23" spans="1:46" ht="20" x14ac:dyDescent="0.2">
      <c r="A23" s="7"/>
    </row>
    <row r="24" spans="1:46" ht="20" x14ac:dyDescent="0.2">
      <c r="A24" s="7" t="s">
        <v>6</v>
      </c>
    </row>
    <row r="25" spans="1:46" ht="20" x14ac:dyDescent="0.2">
      <c r="A25" s="7" t="s">
        <v>19</v>
      </c>
      <c r="N25" s="8" t="s">
        <v>37</v>
      </c>
      <c r="O25" s="8" t="s">
        <v>38</v>
      </c>
      <c r="P25" s="8" t="s">
        <v>40</v>
      </c>
      <c r="Q25" s="8" t="s">
        <v>39</v>
      </c>
      <c r="R25" s="8" t="s">
        <v>41</v>
      </c>
    </row>
    <row r="26" spans="1:46" ht="20" x14ac:dyDescent="0.2">
      <c r="A26" s="7" t="s">
        <v>20</v>
      </c>
      <c r="O26" s="8" t="s">
        <v>37</v>
      </c>
      <c r="P26" s="8" t="s">
        <v>38</v>
      </c>
      <c r="Q26" s="8" t="s">
        <v>40</v>
      </c>
      <c r="R26" s="8" t="s">
        <v>39</v>
      </c>
      <c r="S26" s="8" t="s">
        <v>41</v>
      </c>
    </row>
    <row r="27" spans="1:46" ht="20" x14ac:dyDescent="0.2">
      <c r="A27" s="7" t="s">
        <v>21</v>
      </c>
      <c r="P27" s="8" t="s">
        <v>37</v>
      </c>
      <c r="Q27" s="8" t="s">
        <v>38</v>
      </c>
      <c r="R27" s="8" t="s">
        <v>45</v>
      </c>
      <c r="S27" s="8" t="s">
        <v>45</v>
      </c>
      <c r="T27" s="8" t="s">
        <v>45</v>
      </c>
      <c r="U27" s="8" t="s">
        <v>45</v>
      </c>
      <c r="V27" s="8" t="s">
        <v>45</v>
      </c>
      <c r="W27" s="8" t="s">
        <v>45</v>
      </c>
      <c r="X27" s="8" t="s">
        <v>45</v>
      </c>
      <c r="Y27" s="8" t="s">
        <v>45</v>
      </c>
      <c r="Z27" s="8" t="s">
        <v>39</v>
      </c>
      <c r="AA27" s="8" t="s">
        <v>41</v>
      </c>
    </row>
    <row r="28" spans="1:46" ht="20" x14ac:dyDescent="0.2">
      <c r="A28" s="7" t="s">
        <v>22</v>
      </c>
      <c r="Q28" s="8" t="s">
        <v>37</v>
      </c>
      <c r="R28" s="8" t="s">
        <v>38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44</v>
      </c>
      <c r="AA28" t="s">
        <v>44</v>
      </c>
      <c r="AB28" t="s">
        <v>44</v>
      </c>
      <c r="AC28" t="s">
        <v>44</v>
      </c>
      <c r="AD28" t="s">
        <v>39</v>
      </c>
      <c r="AE28" t="s">
        <v>41</v>
      </c>
    </row>
    <row r="29" spans="1:46" ht="20" x14ac:dyDescent="0.2">
      <c r="A29" s="7" t="s">
        <v>23</v>
      </c>
      <c r="R29" s="8" t="s">
        <v>37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38</v>
      </c>
      <c r="AA29" t="s">
        <v>40</v>
      </c>
      <c r="AB29" t="s">
        <v>39</v>
      </c>
      <c r="AC29" t="s">
        <v>41</v>
      </c>
    </row>
    <row r="30" spans="1:46" ht="20" x14ac:dyDescent="0.2">
      <c r="A30" s="7" t="s">
        <v>24</v>
      </c>
      <c r="Z30" t="s">
        <v>37</v>
      </c>
      <c r="AA30" t="s">
        <v>38</v>
      </c>
      <c r="AB30" t="s">
        <v>40</v>
      </c>
      <c r="AC30" t="s">
        <v>39</v>
      </c>
      <c r="AD30" t="s">
        <v>41</v>
      </c>
    </row>
    <row r="31" spans="1:46" ht="20" x14ac:dyDescent="0.2">
      <c r="A31" s="7" t="s">
        <v>25</v>
      </c>
      <c r="AA31" t="s">
        <v>37</v>
      </c>
      <c r="AB31" t="s">
        <v>38</v>
      </c>
      <c r="AC31" t="s">
        <v>40</v>
      </c>
      <c r="AD31" t="s">
        <v>39</v>
      </c>
      <c r="AE31" t="s">
        <v>41</v>
      </c>
    </row>
    <row r="32" spans="1:46" ht="20" x14ac:dyDescent="0.2">
      <c r="A32" s="7" t="s">
        <v>26</v>
      </c>
      <c r="AB32" t="s">
        <v>37</v>
      </c>
      <c r="AC32" t="s">
        <v>38</v>
      </c>
      <c r="AD32" t="s">
        <v>40</v>
      </c>
      <c r="AE32" t="s">
        <v>39</v>
      </c>
      <c r="AF32" t="s">
        <v>41</v>
      </c>
    </row>
    <row r="33" spans="1:51" ht="20" x14ac:dyDescent="0.2">
      <c r="A33" s="7"/>
    </row>
    <row r="34" spans="1:51" ht="20" x14ac:dyDescent="0.2">
      <c r="A34" s="7" t="s">
        <v>7</v>
      </c>
    </row>
    <row r="35" spans="1:51" ht="20" x14ac:dyDescent="0.2">
      <c r="A35" s="7" t="s">
        <v>27</v>
      </c>
      <c r="AC35" t="s">
        <v>37</v>
      </c>
      <c r="AD35" t="s">
        <v>38</v>
      </c>
      <c r="AE35" t="s">
        <v>44</v>
      </c>
      <c r="AF35" t="s">
        <v>44</v>
      </c>
      <c r="AG35" t="s">
        <v>44</v>
      </c>
      <c r="AH35" t="s">
        <v>44</v>
      </c>
      <c r="AI35" t="s">
        <v>39</v>
      </c>
      <c r="AJ35" t="s">
        <v>41</v>
      </c>
    </row>
    <row r="36" spans="1:51" ht="20" x14ac:dyDescent="0.2">
      <c r="A36" s="7" t="s">
        <v>28</v>
      </c>
      <c r="AD36" t="s">
        <v>37</v>
      </c>
      <c r="AE36" t="s">
        <v>38</v>
      </c>
      <c r="AF36" t="s">
        <v>43</v>
      </c>
      <c r="AG36" t="s">
        <v>43</v>
      </c>
      <c r="AH36" t="s">
        <v>43</v>
      </c>
      <c r="AI36" s="10" t="s">
        <v>44</v>
      </c>
      <c r="AJ36" s="10" t="s">
        <v>44</v>
      </c>
      <c r="AK36" s="10" t="s">
        <v>44</v>
      </c>
      <c r="AL36" s="10" t="s">
        <v>44</v>
      </c>
      <c r="AM36" t="s">
        <v>39</v>
      </c>
      <c r="AN36" t="s">
        <v>41</v>
      </c>
    </row>
    <row r="37" spans="1:51" ht="20" x14ac:dyDescent="0.2">
      <c r="A37" s="7" t="s">
        <v>29</v>
      </c>
      <c r="AE37" t="s">
        <v>37</v>
      </c>
      <c r="AF37" t="s">
        <v>43</v>
      </c>
      <c r="AG37" t="s">
        <v>43</v>
      </c>
      <c r="AH37" t="s">
        <v>43</v>
      </c>
      <c r="AI37" t="s">
        <v>38</v>
      </c>
      <c r="AJ37" t="s">
        <v>43</v>
      </c>
      <c r="AK37" t="s">
        <v>43</v>
      </c>
      <c r="AL37" t="s">
        <v>43</v>
      </c>
      <c r="AM37" t="s">
        <v>40</v>
      </c>
      <c r="AN37" t="s">
        <v>39</v>
      </c>
      <c r="AO37" t="s">
        <v>41</v>
      </c>
    </row>
    <row r="38" spans="1:51" ht="20" x14ac:dyDescent="0.2">
      <c r="A38" s="7" t="s">
        <v>30</v>
      </c>
      <c r="AI38" t="s">
        <v>37</v>
      </c>
      <c r="AJ38" t="s">
        <v>43</v>
      </c>
      <c r="AK38" t="s">
        <v>43</v>
      </c>
      <c r="AL38" t="s">
        <v>43</v>
      </c>
      <c r="AM38" t="s">
        <v>38</v>
      </c>
      <c r="AN38" t="s">
        <v>40</v>
      </c>
      <c r="AO38" t="s">
        <v>39</v>
      </c>
      <c r="AP38" t="s">
        <v>41</v>
      </c>
    </row>
    <row r="39" spans="1:51" ht="20" x14ac:dyDescent="0.2">
      <c r="A39" s="7" t="s">
        <v>31</v>
      </c>
      <c r="AM39" t="s">
        <v>37</v>
      </c>
      <c r="AN39" t="s">
        <v>38</v>
      </c>
      <c r="AO39" t="s">
        <v>40</v>
      </c>
      <c r="AP39" t="s">
        <v>46</v>
      </c>
      <c r="AQ39" t="s">
        <v>46</v>
      </c>
    </row>
    <row r="40" spans="1:51" ht="20" x14ac:dyDescent="0.2">
      <c r="A40" s="7"/>
    </row>
    <row r="41" spans="1:51" ht="20" x14ac:dyDescent="0.2">
      <c r="A41" s="7" t="s">
        <v>8</v>
      </c>
    </row>
    <row r="42" spans="1:51" ht="20" x14ac:dyDescent="0.2">
      <c r="A42" s="7" t="s">
        <v>32</v>
      </c>
      <c r="AM42" t="s">
        <v>37</v>
      </c>
      <c r="AN42" t="s">
        <v>38</v>
      </c>
      <c r="AO42" t="s">
        <v>40</v>
      </c>
      <c r="AP42" t="s">
        <v>39</v>
      </c>
      <c r="AQ42" t="s">
        <v>41</v>
      </c>
    </row>
    <row r="43" spans="1:51" ht="20" x14ac:dyDescent="0.2">
      <c r="A43" s="7" t="s">
        <v>33</v>
      </c>
      <c r="AN43" t="s">
        <v>37</v>
      </c>
      <c r="AO43" t="s">
        <v>38</v>
      </c>
      <c r="AP43" s="10" t="s">
        <v>44</v>
      </c>
      <c r="AQ43" s="10" t="s">
        <v>44</v>
      </c>
      <c r="AR43" s="10" t="s">
        <v>44</v>
      </c>
      <c r="AS43" s="10" t="s">
        <v>44</v>
      </c>
      <c r="AT43" t="s">
        <v>39</v>
      </c>
      <c r="AU43" t="s">
        <v>41</v>
      </c>
    </row>
    <row r="44" spans="1:51" ht="20" x14ac:dyDescent="0.2">
      <c r="A44" s="7"/>
    </row>
    <row r="45" spans="1:51" ht="20" x14ac:dyDescent="0.2">
      <c r="A45" s="7" t="s">
        <v>34</v>
      </c>
      <c r="AM45" t="s">
        <v>37</v>
      </c>
      <c r="AN45" t="s">
        <v>38</v>
      </c>
      <c r="AO45" t="s">
        <v>43</v>
      </c>
      <c r="AP45" t="s">
        <v>43</v>
      </c>
      <c r="AQ45" t="s">
        <v>43</v>
      </c>
      <c r="AR45" t="s">
        <v>43</v>
      </c>
      <c r="AS45" t="s">
        <v>39</v>
      </c>
      <c r="AT45" t="s">
        <v>41</v>
      </c>
    </row>
    <row r="46" spans="1:51" ht="20" x14ac:dyDescent="0.2">
      <c r="A46" s="7" t="s">
        <v>35</v>
      </c>
      <c r="AN46" t="s">
        <v>37</v>
      </c>
      <c r="AO46" t="s">
        <v>43</v>
      </c>
      <c r="AP46" t="s">
        <v>43</v>
      </c>
      <c r="AQ46" t="s">
        <v>43</v>
      </c>
      <c r="AR46" t="s">
        <v>43</v>
      </c>
      <c r="AS46" t="s">
        <v>38</v>
      </c>
      <c r="AT46" t="s">
        <v>40</v>
      </c>
      <c r="AU46" t="s">
        <v>39</v>
      </c>
      <c r="AV46" t="s">
        <v>41</v>
      </c>
    </row>
    <row r="47" spans="1:51" ht="20" x14ac:dyDescent="0.2">
      <c r="A47" s="7" t="s">
        <v>36</v>
      </c>
      <c r="AS47" t="s">
        <v>37</v>
      </c>
      <c r="AT47" t="s">
        <v>38</v>
      </c>
      <c r="AU47" t="s">
        <v>40</v>
      </c>
      <c r="AV47" t="s">
        <v>39</v>
      </c>
      <c r="AW47" t="s">
        <v>41</v>
      </c>
      <c r="AX47" t="s">
        <v>39</v>
      </c>
      <c r="AY47" t="s">
        <v>41</v>
      </c>
    </row>
    <row r="48" spans="1:51" ht="20" x14ac:dyDescent="0.2">
      <c r="A48" s="7" t="s">
        <v>9</v>
      </c>
    </row>
  </sheetData>
  <mergeCells count="5">
    <mergeCell ref="AS18:AT18"/>
    <mergeCell ref="AS17:AT17"/>
    <mergeCell ref="AS19:AT19"/>
    <mergeCell ref="AS20:AT20"/>
    <mergeCell ref="AS22:AT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41C0-14E1-224C-94DE-1E13279C0F68}">
  <dimension ref="A1:DI48"/>
  <sheetViews>
    <sheetView topLeftCell="A10" workbookViewId="0">
      <selection activeCell="Q25" sqref="Q25:AE34"/>
    </sheetView>
  </sheetViews>
  <sheetFormatPr baseColWidth="10" defaultRowHeight="16" x14ac:dyDescent="0.2"/>
  <cols>
    <col min="1" max="1" width="23.1640625" customWidth="1"/>
    <col min="2" max="113" width="2.83203125" customWidth="1"/>
  </cols>
  <sheetData>
    <row r="1" spans="1:113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</row>
    <row r="2" spans="1:113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</row>
    <row r="3" spans="1:113" x14ac:dyDescent="0.2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</row>
    <row r="4" spans="1:113" x14ac:dyDescent="0.2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</row>
    <row r="5" spans="1:113" x14ac:dyDescent="0.2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3" x14ac:dyDescent="0.2">
      <c r="A6" s="5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</row>
    <row r="10" spans="1:113" ht="20" x14ac:dyDescent="0.2">
      <c r="A10" s="7" t="s">
        <v>10</v>
      </c>
      <c r="B10" t="s">
        <v>37</v>
      </c>
      <c r="C10" t="s">
        <v>38</v>
      </c>
      <c r="D10" t="s">
        <v>40</v>
      </c>
      <c r="E10" t="s">
        <v>39</v>
      </c>
      <c r="F10" t="s">
        <v>41</v>
      </c>
    </row>
    <row r="11" spans="1:113" ht="20" x14ac:dyDescent="0.2">
      <c r="A11" s="7" t="s">
        <v>11</v>
      </c>
      <c r="C11" t="s">
        <v>37</v>
      </c>
      <c r="D11" t="s">
        <v>38</v>
      </c>
      <c r="E11" t="s">
        <v>40</v>
      </c>
      <c r="F11" t="s">
        <v>39</v>
      </c>
      <c r="G11" t="s">
        <v>41</v>
      </c>
    </row>
    <row r="12" spans="1:113" ht="20" x14ac:dyDescent="0.2">
      <c r="A12" s="7" t="s">
        <v>12</v>
      </c>
      <c r="D12" t="s">
        <v>37</v>
      </c>
      <c r="E12" t="s">
        <v>38</v>
      </c>
      <c r="F12" t="s">
        <v>40</v>
      </c>
      <c r="G12" t="s">
        <v>39</v>
      </c>
      <c r="H12" t="s">
        <v>41</v>
      </c>
    </row>
    <row r="13" spans="1:113" ht="20" x14ac:dyDescent="0.2">
      <c r="A13" s="7" t="s">
        <v>42</v>
      </c>
      <c r="E13" t="s">
        <v>37</v>
      </c>
      <c r="F13" t="s">
        <v>38</v>
      </c>
      <c r="G13" t="s">
        <v>40</v>
      </c>
      <c r="H13" t="s">
        <v>39</v>
      </c>
      <c r="I13" t="s">
        <v>41</v>
      </c>
    </row>
    <row r="14" spans="1:113" ht="20" x14ac:dyDescent="0.2">
      <c r="A14" s="7" t="s">
        <v>13</v>
      </c>
      <c r="F14" s="8" t="s">
        <v>37</v>
      </c>
      <c r="G14" s="8" t="s">
        <v>38</v>
      </c>
      <c r="H14" s="8" t="s">
        <v>40</v>
      </c>
      <c r="I14" s="8" t="s">
        <v>39</v>
      </c>
      <c r="J14" s="8" t="s">
        <v>41</v>
      </c>
    </row>
    <row r="15" spans="1:113" ht="20" x14ac:dyDescent="0.2">
      <c r="A15" s="7"/>
    </row>
    <row r="16" spans="1:113" ht="20" x14ac:dyDescent="0.2">
      <c r="A16" s="7" t="s">
        <v>14</v>
      </c>
      <c r="G16" s="8" t="s">
        <v>37</v>
      </c>
      <c r="H16" s="8" t="s">
        <v>38</v>
      </c>
      <c r="I16" s="8" t="s">
        <v>40</v>
      </c>
      <c r="J16" s="8" t="s">
        <v>39</v>
      </c>
      <c r="K16" s="8" t="s">
        <v>41</v>
      </c>
    </row>
    <row r="17" spans="1:46" ht="20" x14ac:dyDescent="0.2">
      <c r="A17" s="7" t="s">
        <v>42</v>
      </c>
      <c r="H17" s="8" t="s">
        <v>37</v>
      </c>
      <c r="I17" s="8" t="s">
        <v>38</v>
      </c>
      <c r="J17" s="8" t="s">
        <v>40</v>
      </c>
      <c r="K17" s="8" t="s">
        <v>39</v>
      </c>
      <c r="L17" s="8" t="s">
        <v>41</v>
      </c>
      <c r="AL17" t="s">
        <v>48</v>
      </c>
      <c r="AS17" s="9">
        <v>15</v>
      </c>
      <c r="AT17" s="9"/>
    </row>
    <row r="18" spans="1:46" ht="20" x14ac:dyDescent="0.2">
      <c r="A18" s="7" t="s">
        <v>15</v>
      </c>
      <c r="I18" s="8" t="s">
        <v>37</v>
      </c>
      <c r="J18" s="8" t="s">
        <v>38</v>
      </c>
      <c r="K18" s="8" t="s">
        <v>40</v>
      </c>
      <c r="L18" s="8" t="s">
        <v>39</v>
      </c>
      <c r="M18" s="8" t="s">
        <v>41</v>
      </c>
      <c r="AL18" t="s">
        <v>47</v>
      </c>
      <c r="AO18">
        <v>13</v>
      </c>
      <c r="AQ18">
        <v>15</v>
      </c>
      <c r="AS18" s="9">
        <f>AO18*AQ18</f>
        <v>195</v>
      </c>
      <c r="AT18" s="9"/>
    </row>
    <row r="19" spans="1:46" ht="20" x14ac:dyDescent="0.2">
      <c r="A19" s="7" t="s">
        <v>42</v>
      </c>
      <c r="J19" s="8" t="s">
        <v>37</v>
      </c>
      <c r="K19" s="8" t="s">
        <v>38</v>
      </c>
      <c r="L19" s="8" t="s">
        <v>40</v>
      </c>
      <c r="M19" s="8" t="s">
        <v>39</v>
      </c>
      <c r="N19" s="8" t="s">
        <v>41</v>
      </c>
      <c r="AO19">
        <v>12</v>
      </c>
      <c r="AS19" s="9">
        <v>12</v>
      </c>
      <c r="AT19" s="9"/>
    </row>
    <row r="20" spans="1:46" ht="20" x14ac:dyDescent="0.2">
      <c r="A20" s="7" t="s">
        <v>16</v>
      </c>
      <c r="K20" s="8" t="s">
        <v>37</v>
      </c>
      <c r="L20" s="8" t="s">
        <v>38</v>
      </c>
      <c r="M20" s="8" t="s">
        <v>40</v>
      </c>
      <c r="N20" s="8" t="s">
        <v>39</v>
      </c>
      <c r="O20" s="8" t="s">
        <v>41</v>
      </c>
      <c r="AL20" t="s">
        <v>49</v>
      </c>
      <c r="AO20">
        <v>21</v>
      </c>
      <c r="AS20" s="9">
        <v>21</v>
      </c>
      <c r="AT20" s="9"/>
    </row>
    <row r="21" spans="1:46" ht="20" x14ac:dyDescent="0.2">
      <c r="A21" s="7" t="s">
        <v>17</v>
      </c>
      <c r="L21" s="8" t="s">
        <v>37</v>
      </c>
      <c r="M21" s="8" t="s">
        <v>38</v>
      </c>
      <c r="N21" s="8" t="s">
        <v>40</v>
      </c>
      <c r="O21" s="8" t="s">
        <v>39</v>
      </c>
      <c r="P21" s="8" t="s">
        <v>41</v>
      </c>
    </row>
    <row r="22" spans="1:46" ht="20" x14ac:dyDescent="0.2">
      <c r="A22" s="7" t="s">
        <v>18</v>
      </c>
      <c r="M22" s="8" t="s">
        <v>37</v>
      </c>
      <c r="N22" s="8" t="s">
        <v>38</v>
      </c>
      <c r="O22" t="s">
        <v>44</v>
      </c>
      <c r="P22" t="s">
        <v>44</v>
      </c>
      <c r="Q22" t="s">
        <v>44</v>
      </c>
      <c r="R22" t="s">
        <v>44</v>
      </c>
      <c r="S22" t="s">
        <v>39</v>
      </c>
      <c r="T22" t="s">
        <v>41</v>
      </c>
      <c r="AS22" s="9">
        <f>SUM(AS17:AT20)</f>
        <v>243</v>
      </c>
      <c r="AT22" s="9"/>
    </row>
    <row r="23" spans="1:46" ht="20" x14ac:dyDescent="0.2">
      <c r="A23" s="7"/>
    </row>
    <row r="24" spans="1:46" ht="20" x14ac:dyDescent="0.2">
      <c r="A24" s="7" t="s">
        <v>6</v>
      </c>
    </row>
    <row r="25" spans="1:46" ht="20" x14ac:dyDescent="0.2">
      <c r="A25" s="7" t="s">
        <v>19</v>
      </c>
      <c r="N25" s="8" t="s">
        <v>37</v>
      </c>
      <c r="O25" s="8" t="s">
        <v>38</v>
      </c>
      <c r="P25" s="8" t="s">
        <v>40</v>
      </c>
      <c r="Q25" s="8" t="s">
        <v>39</v>
      </c>
      <c r="R25" s="8" t="s">
        <v>41</v>
      </c>
    </row>
    <row r="26" spans="1:46" ht="20" x14ac:dyDescent="0.2">
      <c r="A26" s="7" t="s">
        <v>20</v>
      </c>
      <c r="O26" s="8" t="s">
        <v>37</v>
      </c>
      <c r="P26" s="8" t="s">
        <v>38</v>
      </c>
      <c r="Q26" s="8" t="s">
        <v>40</v>
      </c>
      <c r="R26" s="8" t="s">
        <v>39</v>
      </c>
      <c r="S26" s="8" t="s">
        <v>41</v>
      </c>
    </row>
    <row r="27" spans="1:46" ht="20" x14ac:dyDescent="0.2">
      <c r="A27" s="7" t="s">
        <v>21</v>
      </c>
      <c r="P27" s="8" t="s">
        <v>37</v>
      </c>
      <c r="Q27" s="8" t="s">
        <v>38</v>
      </c>
      <c r="R27" s="8" t="s">
        <v>45</v>
      </c>
      <c r="S27" s="8" t="s">
        <v>45</v>
      </c>
      <c r="T27" s="8" t="s">
        <v>45</v>
      </c>
      <c r="U27" s="8" t="s">
        <v>45</v>
      </c>
      <c r="V27" s="8" t="s">
        <v>45</v>
      </c>
      <c r="W27" s="8" t="s">
        <v>45</v>
      </c>
      <c r="X27" s="8" t="s">
        <v>45</v>
      </c>
      <c r="Y27" s="8" t="s">
        <v>45</v>
      </c>
      <c r="Z27" s="8" t="s">
        <v>39</v>
      </c>
      <c r="AA27" s="8" t="s">
        <v>41</v>
      </c>
    </row>
    <row r="28" spans="1:46" ht="20" x14ac:dyDescent="0.2">
      <c r="A28" s="7" t="s">
        <v>23</v>
      </c>
      <c r="Q28" s="8" t="s">
        <v>37</v>
      </c>
      <c r="R28" t="s">
        <v>38</v>
      </c>
      <c r="S28" t="s">
        <v>40</v>
      </c>
      <c r="T28" t="s">
        <v>39</v>
      </c>
      <c r="U28" t="s">
        <v>41</v>
      </c>
    </row>
    <row r="29" spans="1:46" ht="20" x14ac:dyDescent="0.2">
      <c r="A29" s="7" t="s">
        <v>24</v>
      </c>
      <c r="R29" t="s">
        <v>37</v>
      </c>
      <c r="S29" t="s">
        <v>38</v>
      </c>
      <c r="T29" t="s">
        <v>40</v>
      </c>
      <c r="U29" t="s">
        <v>39</v>
      </c>
      <c r="V29" t="s">
        <v>41</v>
      </c>
    </row>
    <row r="30" spans="1:46" ht="20" x14ac:dyDescent="0.2">
      <c r="A30" s="7" t="s">
        <v>25</v>
      </c>
      <c r="S30" t="s">
        <v>37</v>
      </c>
      <c r="T30" t="s">
        <v>38</v>
      </c>
      <c r="U30" t="s">
        <v>40</v>
      </c>
      <c r="V30" t="s">
        <v>39</v>
      </c>
      <c r="W30" t="s">
        <v>41</v>
      </c>
    </row>
    <row r="31" spans="1:46" ht="20" x14ac:dyDescent="0.2">
      <c r="A31" s="7" t="s">
        <v>22</v>
      </c>
      <c r="T31" s="8" t="s">
        <v>37</v>
      </c>
      <c r="U31" s="8" t="s">
        <v>38</v>
      </c>
      <c r="V31" t="s">
        <v>43</v>
      </c>
      <c r="W31" t="s">
        <v>43</v>
      </c>
      <c r="X31" t="s">
        <v>43</v>
      </c>
      <c r="Y31" t="s">
        <v>43</v>
      </c>
      <c r="Z31" t="s">
        <v>44</v>
      </c>
      <c r="AA31" t="s">
        <v>44</v>
      </c>
      <c r="AB31" t="s">
        <v>44</v>
      </c>
      <c r="AC31" t="s">
        <v>44</v>
      </c>
      <c r="AD31" t="s">
        <v>39</v>
      </c>
      <c r="AE31" t="s">
        <v>41</v>
      </c>
    </row>
    <row r="32" spans="1:46" ht="20" x14ac:dyDescent="0.2">
      <c r="A32" s="7" t="s">
        <v>26</v>
      </c>
      <c r="U32" t="s">
        <v>37</v>
      </c>
      <c r="V32" t="s">
        <v>43</v>
      </c>
      <c r="W32" t="s">
        <v>43</v>
      </c>
      <c r="X32" t="s">
        <v>43</v>
      </c>
      <c r="Y32" t="s">
        <v>43</v>
      </c>
      <c r="Z32" t="s">
        <v>38</v>
      </c>
      <c r="AA32" t="s">
        <v>40</v>
      </c>
      <c r="AB32" t="s">
        <v>39</v>
      </c>
      <c r="AC32" t="s">
        <v>41</v>
      </c>
    </row>
    <row r="33" spans="1:51" ht="20" x14ac:dyDescent="0.2">
      <c r="A33" s="7"/>
      <c r="Z33" t="s">
        <v>37</v>
      </c>
      <c r="AA33" t="s">
        <v>46</v>
      </c>
      <c r="AB33" t="s">
        <v>46</v>
      </c>
      <c r="AC33" t="s">
        <v>46</v>
      </c>
      <c r="AD33" t="s">
        <v>46</v>
      </c>
    </row>
    <row r="34" spans="1:51" ht="20" x14ac:dyDescent="0.2">
      <c r="A34" s="7" t="s">
        <v>7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</row>
    <row r="35" spans="1:51" ht="20" x14ac:dyDescent="0.2">
      <c r="A35" s="7" t="s">
        <v>27</v>
      </c>
      <c r="Z35" t="s">
        <v>37</v>
      </c>
      <c r="AA35" t="s">
        <v>38</v>
      </c>
      <c r="AB35" t="s">
        <v>43</v>
      </c>
      <c r="AC35" t="s">
        <v>43</v>
      </c>
      <c r="AD35" t="s">
        <v>44</v>
      </c>
      <c r="AE35" t="s">
        <v>44</v>
      </c>
      <c r="AF35" t="s">
        <v>44</v>
      </c>
      <c r="AG35" t="s">
        <v>44</v>
      </c>
      <c r="AH35" t="s">
        <v>39</v>
      </c>
      <c r="AI35" t="s">
        <v>41</v>
      </c>
    </row>
    <row r="36" spans="1:51" ht="20" x14ac:dyDescent="0.2">
      <c r="A36" s="7" t="s">
        <v>28</v>
      </c>
      <c r="AA36" t="s">
        <v>37</v>
      </c>
      <c r="AB36" t="s">
        <v>43</v>
      </c>
      <c r="AC36" t="s">
        <v>43</v>
      </c>
      <c r="AD36" t="s">
        <v>38</v>
      </c>
      <c r="AE36" t="s">
        <v>43</v>
      </c>
      <c r="AF36" t="s">
        <v>43</v>
      </c>
      <c r="AG36" t="s">
        <v>43</v>
      </c>
      <c r="AH36" s="10" t="s">
        <v>44</v>
      </c>
      <c r="AI36" s="10" t="s">
        <v>44</v>
      </c>
      <c r="AJ36" s="10" t="s">
        <v>44</v>
      </c>
      <c r="AK36" s="10" t="s">
        <v>44</v>
      </c>
      <c r="AL36" s="11" t="s">
        <v>39</v>
      </c>
      <c r="AM36" s="11" t="s">
        <v>41</v>
      </c>
    </row>
    <row r="37" spans="1:51" ht="20" x14ac:dyDescent="0.2">
      <c r="A37" s="7" t="s">
        <v>29</v>
      </c>
      <c r="AD37" t="s">
        <v>37</v>
      </c>
      <c r="AE37" t="s">
        <v>43</v>
      </c>
      <c r="AF37" t="s">
        <v>43</v>
      </c>
      <c r="AG37" t="s">
        <v>43</v>
      </c>
      <c r="AH37" t="s">
        <v>38</v>
      </c>
      <c r="AI37" t="s">
        <v>43</v>
      </c>
      <c r="AJ37" t="s">
        <v>43</v>
      </c>
      <c r="AK37" t="s">
        <v>43</v>
      </c>
      <c r="AL37" t="s">
        <v>40</v>
      </c>
      <c r="AM37" t="s">
        <v>39</v>
      </c>
      <c r="AN37" t="s">
        <v>41</v>
      </c>
    </row>
    <row r="38" spans="1:51" ht="20" x14ac:dyDescent="0.2">
      <c r="A38" s="7" t="s">
        <v>30</v>
      </c>
      <c r="AH38" t="s">
        <v>37</v>
      </c>
      <c r="AI38" t="s">
        <v>43</v>
      </c>
      <c r="AJ38" t="s">
        <v>43</v>
      </c>
      <c r="AK38" t="s">
        <v>43</v>
      </c>
      <c r="AL38" t="s">
        <v>38</v>
      </c>
      <c r="AM38" t="s">
        <v>40</v>
      </c>
      <c r="AN38" t="s">
        <v>39</v>
      </c>
      <c r="AO38" t="s">
        <v>41</v>
      </c>
    </row>
    <row r="39" spans="1:51" ht="20" x14ac:dyDescent="0.2">
      <c r="A39" s="7" t="s">
        <v>31</v>
      </c>
      <c r="AL39" t="s">
        <v>37</v>
      </c>
      <c r="AM39" t="s">
        <v>38</v>
      </c>
      <c r="AN39" t="s">
        <v>40</v>
      </c>
      <c r="AO39" t="s">
        <v>46</v>
      </c>
      <c r="AP39" t="s">
        <v>46</v>
      </c>
    </row>
    <row r="40" spans="1:51" ht="20" x14ac:dyDescent="0.2">
      <c r="A40" s="7"/>
    </row>
    <row r="41" spans="1:51" ht="20" x14ac:dyDescent="0.2">
      <c r="A41" s="7" t="s">
        <v>8</v>
      </c>
    </row>
    <row r="42" spans="1:51" ht="20" x14ac:dyDescent="0.2">
      <c r="A42" s="7" t="s">
        <v>32</v>
      </c>
      <c r="AM42" t="s">
        <v>37</v>
      </c>
      <c r="AN42" t="s">
        <v>38</v>
      </c>
      <c r="AO42" t="s">
        <v>40</v>
      </c>
      <c r="AP42" t="s">
        <v>39</v>
      </c>
      <c r="AQ42" t="s">
        <v>41</v>
      </c>
    </row>
    <row r="43" spans="1:51" ht="20" x14ac:dyDescent="0.2">
      <c r="A43" s="7" t="s">
        <v>33</v>
      </c>
      <c r="AN43" t="s">
        <v>37</v>
      </c>
      <c r="AO43" t="s">
        <v>38</v>
      </c>
      <c r="AP43" s="10" t="s">
        <v>44</v>
      </c>
      <c r="AQ43" s="10" t="s">
        <v>44</v>
      </c>
      <c r="AR43" s="10" t="s">
        <v>44</v>
      </c>
      <c r="AS43" s="10" t="s">
        <v>44</v>
      </c>
      <c r="AT43" s="11" t="s">
        <v>39</v>
      </c>
      <c r="AU43" s="11" t="s">
        <v>41</v>
      </c>
    </row>
    <row r="44" spans="1:51" ht="20" x14ac:dyDescent="0.2">
      <c r="A44" s="7"/>
    </row>
    <row r="45" spans="1:51" ht="20" x14ac:dyDescent="0.2">
      <c r="A45" s="7" t="s">
        <v>34</v>
      </c>
      <c r="AO45" t="s">
        <v>37</v>
      </c>
      <c r="AP45" t="s">
        <v>43</v>
      </c>
      <c r="AQ45" t="s">
        <v>43</v>
      </c>
      <c r="AR45" t="s">
        <v>43</v>
      </c>
      <c r="AS45" t="s">
        <v>43</v>
      </c>
      <c r="AT45" t="s">
        <v>38</v>
      </c>
      <c r="AU45" t="s">
        <v>40</v>
      </c>
      <c r="AV45" t="s">
        <v>39</v>
      </c>
      <c r="AW45" t="s">
        <v>41</v>
      </c>
    </row>
    <row r="46" spans="1:51" ht="20" x14ac:dyDescent="0.2">
      <c r="A46" s="7" t="s">
        <v>35</v>
      </c>
      <c r="AT46" t="s">
        <v>37</v>
      </c>
      <c r="AU46" t="s">
        <v>38</v>
      </c>
      <c r="AV46" t="s">
        <v>40</v>
      </c>
      <c r="AW46" t="s">
        <v>39</v>
      </c>
      <c r="AX46" t="s">
        <v>41</v>
      </c>
    </row>
    <row r="47" spans="1:51" ht="20" x14ac:dyDescent="0.2">
      <c r="A47" s="7" t="s">
        <v>36</v>
      </c>
      <c r="AU47" t="s">
        <v>37</v>
      </c>
      <c r="AV47" t="s">
        <v>38</v>
      </c>
      <c r="AW47" t="s">
        <v>40</v>
      </c>
      <c r="AX47" t="s">
        <v>39</v>
      </c>
      <c r="AY47" t="s">
        <v>41</v>
      </c>
    </row>
    <row r="48" spans="1:51" ht="20" x14ac:dyDescent="0.2">
      <c r="A48" s="7" t="s">
        <v>9</v>
      </c>
    </row>
  </sheetData>
  <mergeCells count="5">
    <mergeCell ref="AS17:AT17"/>
    <mergeCell ref="AS18:AT18"/>
    <mergeCell ref="AS19:AT19"/>
    <mergeCell ref="AS20:AT20"/>
    <mergeCell ref="AS22:AT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BE07-1368-C34F-B956-DABCED263EF5}">
  <dimension ref="A1:DI52"/>
  <sheetViews>
    <sheetView tabSelected="1" topLeftCell="A10" workbookViewId="0">
      <selection activeCell="AG36" sqref="AG36"/>
    </sheetView>
  </sheetViews>
  <sheetFormatPr baseColWidth="10" defaultRowHeight="16" x14ac:dyDescent="0.2"/>
  <cols>
    <col min="1" max="1" width="23.1640625" customWidth="1"/>
    <col min="2" max="113" width="2.83203125" customWidth="1"/>
  </cols>
  <sheetData>
    <row r="1" spans="1:113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</row>
    <row r="2" spans="1:113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</row>
    <row r="3" spans="1:113" x14ac:dyDescent="0.2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</row>
    <row r="4" spans="1:113" x14ac:dyDescent="0.2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</row>
    <row r="5" spans="1:113" x14ac:dyDescent="0.2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3" x14ac:dyDescent="0.2">
      <c r="A6" s="5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</row>
    <row r="10" spans="1:113" ht="20" x14ac:dyDescent="0.2">
      <c r="A10" s="7" t="s">
        <v>10</v>
      </c>
      <c r="B10" t="s">
        <v>37</v>
      </c>
      <c r="C10" t="s">
        <v>38</v>
      </c>
      <c r="D10" t="s">
        <v>40</v>
      </c>
      <c r="E10" t="s">
        <v>39</v>
      </c>
      <c r="F10" t="s">
        <v>41</v>
      </c>
    </row>
    <row r="11" spans="1:113" ht="20" x14ac:dyDescent="0.2">
      <c r="A11" s="7" t="s">
        <v>11</v>
      </c>
      <c r="C11" t="s">
        <v>37</v>
      </c>
      <c r="D11" t="s">
        <v>38</v>
      </c>
      <c r="E11" t="s">
        <v>40</v>
      </c>
      <c r="F11" t="s">
        <v>39</v>
      </c>
      <c r="G11" t="s">
        <v>41</v>
      </c>
    </row>
    <row r="12" spans="1:113" ht="20" x14ac:dyDescent="0.2">
      <c r="A12" s="7" t="s">
        <v>12</v>
      </c>
      <c r="D12" t="s">
        <v>37</v>
      </c>
      <c r="E12" t="s">
        <v>38</v>
      </c>
      <c r="F12" t="s">
        <v>40</v>
      </c>
      <c r="G12" t="s">
        <v>39</v>
      </c>
      <c r="H12" t="s">
        <v>41</v>
      </c>
    </row>
    <row r="13" spans="1:113" ht="20" x14ac:dyDescent="0.2">
      <c r="A13" s="7" t="s">
        <v>42</v>
      </c>
      <c r="E13" t="s">
        <v>37</v>
      </c>
      <c r="F13" t="s">
        <v>38</v>
      </c>
      <c r="G13" t="s">
        <v>40</v>
      </c>
      <c r="H13" t="s">
        <v>39</v>
      </c>
      <c r="I13" t="s">
        <v>41</v>
      </c>
    </row>
    <row r="14" spans="1:113" ht="20" x14ac:dyDescent="0.2">
      <c r="A14" s="7" t="s">
        <v>13</v>
      </c>
      <c r="F14" s="8" t="s">
        <v>37</v>
      </c>
      <c r="G14" s="8" t="s">
        <v>38</v>
      </c>
      <c r="H14" s="8" t="s">
        <v>40</v>
      </c>
      <c r="I14" s="8" t="s">
        <v>39</v>
      </c>
      <c r="J14" s="8" t="s">
        <v>41</v>
      </c>
    </row>
    <row r="15" spans="1:113" ht="20" x14ac:dyDescent="0.2">
      <c r="A15" s="7"/>
    </row>
    <row r="16" spans="1:113" ht="20" x14ac:dyDescent="0.2">
      <c r="A16" s="7" t="s">
        <v>14</v>
      </c>
      <c r="G16" s="8" t="s">
        <v>37</v>
      </c>
      <c r="H16" s="8" t="s">
        <v>38</v>
      </c>
      <c r="I16" s="8" t="s">
        <v>40</v>
      </c>
      <c r="J16" s="8" t="s">
        <v>39</v>
      </c>
      <c r="K16" s="8" t="s">
        <v>41</v>
      </c>
    </row>
    <row r="17" spans="1:46" ht="20" x14ac:dyDescent="0.2">
      <c r="A17" s="7" t="s">
        <v>42</v>
      </c>
      <c r="H17" s="8" t="s">
        <v>37</v>
      </c>
      <c r="I17" s="8" t="s">
        <v>38</v>
      </c>
      <c r="J17" s="8" t="s">
        <v>40</v>
      </c>
      <c r="K17" s="8" t="s">
        <v>39</v>
      </c>
      <c r="L17" s="8" t="s">
        <v>41</v>
      </c>
      <c r="AL17" t="s">
        <v>48</v>
      </c>
      <c r="AS17" s="9">
        <v>16</v>
      </c>
      <c r="AT17" s="9"/>
    </row>
    <row r="18" spans="1:46" ht="20" x14ac:dyDescent="0.2">
      <c r="A18" s="7" t="s">
        <v>15</v>
      </c>
      <c r="I18" s="8" t="s">
        <v>37</v>
      </c>
      <c r="J18" s="8" t="s">
        <v>38</v>
      </c>
      <c r="K18" s="8" t="s">
        <v>40</v>
      </c>
      <c r="L18" s="8" t="s">
        <v>39</v>
      </c>
      <c r="M18" s="8" t="s">
        <v>41</v>
      </c>
      <c r="AL18" t="s">
        <v>47</v>
      </c>
      <c r="AO18">
        <v>18</v>
      </c>
      <c r="AQ18">
        <v>7</v>
      </c>
      <c r="AS18" s="9">
        <f>AO18*AQ18</f>
        <v>126</v>
      </c>
      <c r="AT18" s="9"/>
    </row>
    <row r="19" spans="1:46" ht="20" x14ac:dyDescent="0.2">
      <c r="A19" s="7" t="s">
        <v>42</v>
      </c>
      <c r="J19" s="8" t="s">
        <v>37</v>
      </c>
      <c r="K19" s="8" t="s">
        <v>38</v>
      </c>
      <c r="L19" s="8" t="s">
        <v>40</v>
      </c>
      <c r="M19" s="8" t="s">
        <v>39</v>
      </c>
      <c r="N19" s="8" t="s">
        <v>41</v>
      </c>
      <c r="AO19">
        <v>16</v>
      </c>
      <c r="AS19" s="9">
        <v>16</v>
      </c>
      <c r="AT19" s="9"/>
    </row>
    <row r="20" spans="1:46" ht="20" x14ac:dyDescent="0.2">
      <c r="A20" s="7" t="s">
        <v>16</v>
      </c>
      <c r="K20" s="8" t="s">
        <v>37</v>
      </c>
      <c r="L20" s="8" t="s">
        <v>38</v>
      </c>
      <c r="M20" s="8" t="s">
        <v>40</v>
      </c>
      <c r="N20" s="8" t="s">
        <v>39</v>
      </c>
      <c r="O20" s="8" t="s">
        <v>41</v>
      </c>
      <c r="AL20" t="s">
        <v>49</v>
      </c>
      <c r="AO20">
        <v>22</v>
      </c>
      <c r="AS20" s="9">
        <v>22</v>
      </c>
      <c r="AT20" s="9"/>
    </row>
    <row r="21" spans="1:46" ht="20" x14ac:dyDescent="0.2">
      <c r="A21" s="7" t="s">
        <v>17</v>
      </c>
      <c r="L21" s="8" t="s">
        <v>37</v>
      </c>
      <c r="M21" s="8" t="s">
        <v>38</v>
      </c>
      <c r="N21" s="8" t="s">
        <v>40</v>
      </c>
      <c r="O21" s="8" t="s">
        <v>39</v>
      </c>
      <c r="P21" s="8" t="s">
        <v>41</v>
      </c>
    </row>
    <row r="22" spans="1:46" ht="20" x14ac:dyDescent="0.2">
      <c r="A22" s="7" t="s">
        <v>18</v>
      </c>
      <c r="M22" s="8" t="s">
        <v>37</v>
      </c>
      <c r="N22" s="8" t="s">
        <v>38</v>
      </c>
      <c r="O22" t="s">
        <v>44</v>
      </c>
      <c r="P22" t="s">
        <v>44</v>
      </c>
      <c r="Q22" t="s">
        <v>44</v>
      </c>
      <c r="R22" t="s">
        <v>44</v>
      </c>
      <c r="S22" t="s">
        <v>39</v>
      </c>
      <c r="T22" t="s">
        <v>41</v>
      </c>
      <c r="AS22" s="9">
        <f>SUM(AS17:AT20)</f>
        <v>180</v>
      </c>
      <c r="AT22" s="9"/>
    </row>
    <row r="23" spans="1:46" ht="20" x14ac:dyDescent="0.2">
      <c r="A23" s="7"/>
    </row>
    <row r="24" spans="1:46" ht="20" x14ac:dyDescent="0.2">
      <c r="A24" s="7" t="s">
        <v>6</v>
      </c>
    </row>
    <row r="25" spans="1:46" ht="20" x14ac:dyDescent="0.2">
      <c r="A25" s="7" t="s">
        <v>19</v>
      </c>
      <c r="N25" s="8" t="s">
        <v>37</v>
      </c>
      <c r="O25" s="8" t="s">
        <v>38</v>
      </c>
      <c r="P25" s="8" t="s">
        <v>40</v>
      </c>
      <c r="Q25" s="8" t="s">
        <v>39</v>
      </c>
      <c r="R25" s="8" t="s">
        <v>41</v>
      </c>
    </row>
    <row r="26" spans="1:46" ht="20" x14ac:dyDescent="0.2">
      <c r="A26" s="7" t="s">
        <v>20</v>
      </c>
      <c r="O26" s="8" t="s">
        <v>37</v>
      </c>
      <c r="P26" s="8" t="s">
        <v>38</v>
      </c>
      <c r="Q26" s="8" t="s">
        <v>40</v>
      </c>
      <c r="R26" s="8" t="s">
        <v>39</v>
      </c>
      <c r="S26" s="8" t="s">
        <v>41</v>
      </c>
    </row>
    <row r="27" spans="1:46" ht="20" x14ac:dyDescent="0.2">
      <c r="A27" s="7" t="s">
        <v>21</v>
      </c>
      <c r="P27" s="8" t="s">
        <v>37</v>
      </c>
      <c r="Q27" s="8" t="s">
        <v>38</v>
      </c>
      <c r="R27" s="8" t="s">
        <v>45</v>
      </c>
      <c r="S27" s="8" t="s">
        <v>45</v>
      </c>
      <c r="T27" s="8" t="s">
        <v>45</v>
      </c>
      <c r="U27" s="8" t="s">
        <v>45</v>
      </c>
      <c r="V27" s="8" t="s">
        <v>45</v>
      </c>
      <c r="W27" s="8" t="s">
        <v>45</v>
      </c>
      <c r="X27" s="8" t="s">
        <v>45</v>
      </c>
      <c r="Y27" s="8" t="s">
        <v>45</v>
      </c>
      <c r="Z27" s="8" t="s">
        <v>39</v>
      </c>
      <c r="AA27" s="8" t="s">
        <v>41</v>
      </c>
    </row>
    <row r="29" spans="1:46" ht="20" x14ac:dyDescent="0.2">
      <c r="A29" s="7" t="s">
        <v>50</v>
      </c>
      <c r="Q29" s="8" t="s">
        <v>37</v>
      </c>
      <c r="R29" s="8" t="s">
        <v>38</v>
      </c>
      <c r="S29" s="8" t="s">
        <v>40</v>
      </c>
      <c r="T29" s="8" t="s">
        <v>39</v>
      </c>
      <c r="U29" s="8" t="s">
        <v>41</v>
      </c>
    </row>
    <row r="30" spans="1:46" ht="20" x14ac:dyDescent="0.2">
      <c r="A30" s="7" t="s">
        <v>51</v>
      </c>
      <c r="R30" s="8" t="s">
        <v>37</v>
      </c>
      <c r="S30" s="8" t="s">
        <v>38</v>
      </c>
      <c r="T30" s="8" t="s">
        <v>40</v>
      </c>
      <c r="U30" s="8" t="s">
        <v>39</v>
      </c>
      <c r="V30" s="8" t="s">
        <v>41</v>
      </c>
    </row>
    <row r="31" spans="1:46" ht="20" x14ac:dyDescent="0.2">
      <c r="A31" s="7" t="s">
        <v>52</v>
      </c>
      <c r="S31" s="8" t="s">
        <v>37</v>
      </c>
      <c r="T31" s="8" t="s">
        <v>38</v>
      </c>
      <c r="U31" s="8" t="s">
        <v>45</v>
      </c>
      <c r="V31" s="8" t="s">
        <v>45</v>
      </c>
      <c r="W31" s="8" t="s">
        <v>45</v>
      </c>
      <c r="X31" s="8" t="s">
        <v>45</v>
      </c>
      <c r="Y31" s="8" t="s">
        <v>45</v>
      </c>
      <c r="Z31" s="8" t="s">
        <v>45</v>
      </c>
      <c r="AA31" s="8" t="s">
        <v>45</v>
      </c>
      <c r="AB31" s="8" t="s">
        <v>45</v>
      </c>
      <c r="AC31" s="8" t="s">
        <v>39</v>
      </c>
      <c r="AD31" s="8" t="s">
        <v>41</v>
      </c>
    </row>
    <row r="32" spans="1:46" ht="20" x14ac:dyDescent="0.2">
      <c r="A32" s="7" t="s">
        <v>22</v>
      </c>
      <c r="T32" s="8" t="s">
        <v>37</v>
      </c>
      <c r="U32" s="8" t="s">
        <v>38</v>
      </c>
      <c r="V32" t="s">
        <v>43</v>
      </c>
      <c r="W32" t="s">
        <v>43</v>
      </c>
      <c r="X32" t="s">
        <v>43</v>
      </c>
      <c r="Y32" t="s">
        <v>43</v>
      </c>
      <c r="Z32" t="s">
        <v>44</v>
      </c>
      <c r="AA32" t="s">
        <v>44</v>
      </c>
      <c r="AB32" t="s">
        <v>44</v>
      </c>
      <c r="AC32" t="s">
        <v>44</v>
      </c>
      <c r="AD32" t="s">
        <v>39</v>
      </c>
      <c r="AE32" t="s">
        <v>41</v>
      </c>
    </row>
    <row r="33" spans="1:51" ht="20" x14ac:dyDescent="0.2">
      <c r="A33" s="7" t="s">
        <v>23</v>
      </c>
      <c r="U33" s="8" t="s">
        <v>37</v>
      </c>
      <c r="V33" t="s">
        <v>38</v>
      </c>
      <c r="W33" t="s">
        <v>40</v>
      </c>
      <c r="X33" t="s">
        <v>39</v>
      </c>
      <c r="Y33" t="s">
        <v>41</v>
      </c>
    </row>
    <row r="34" spans="1:51" ht="20" x14ac:dyDescent="0.2">
      <c r="A34" s="7" t="s">
        <v>24</v>
      </c>
      <c r="V34" t="s">
        <v>37</v>
      </c>
      <c r="W34" t="s">
        <v>38</v>
      </c>
      <c r="X34" t="s">
        <v>40</v>
      </c>
      <c r="Y34" t="s">
        <v>39</v>
      </c>
      <c r="Z34" t="s">
        <v>41</v>
      </c>
    </row>
    <row r="35" spans="1:51" ht="20" x14ac:dyDescent="0.2">
      <c r="A35" s="7" t="s">
        <v>25</v>
      </c>
      <c r="W35" t="s">
        <v>37</v>
      </c>
      <c r="X35" t="s">
        <v>38</v>
      </c>
      <c r="Y35" t="s">
        <v>40</v>
      </c>
      <c r="Z35" t="s">
        <v>39</v>
      </c>
      <c r="AA35" t="s">
        <v>41</v>
      </c>
    </row>
    <row r="36" spans="1:51" ht="20" x14ac:dyDescent="0.2">
      <c r="A36" s="12" t="s">
        <v>53</v>
      </c>
      <c r="W36" s="8" t="s">
        <v>37</v>
      </c>
      <c r="X36" s="8" t="s">
        <v>38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44</v>
      </c>
      <c r="AE36" t="s">
        <v>44</v>
      </c>
      <c r="AF36" t="s">
        <v>44</v>
      </c>
      <c r="AG36" t="s">
        <v>44</v>
      </c>
      <c r="AH36" t="s">
        <v>39</v>
      </c>
      <c r="AI36" t="s">
        <v>41</v>
      </c>
    </row>
    <row r="37" spans="1:51" ht="20" x14ac:dyDescent="0.2">
      <c r="A37" s="7" t="s">
        <v>26</v>
      </c>
      <c r="X37" t="s">
        <v>37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38</v>
      </c>
      <c r="AE37" t="s">
        <v>40</v>
      </c>
      <c r="AF37" t="s">
        <v>39</v>
      </c>
      <c r="AG37" t="s">
        <v>41</v>
      </c>
    </row>
    <row r="38" spans="1:51" ht="20" x14ac:dyDescent="0.2">
      <c r="A38" s="7"/>
      <c r="AD38" t="s">
        <v>37</v>
      </c>
      <c r="AE38" t="s">
        <v>46</v>
      </c>
      <c r="AF38" t="s">
        <v>46</v>
      </c>
      <c r="AG38" t="s">
        <v>46</v>
      </c>
      <c r="AH38" t="s">
        <v>46</v>
      </c>
    </row>
    <row r="39" spans="1:51" ht="20" x14ac:dyDescent="0.2">
      <c r="A39" s="7" t="s">
        <v>7</v>
      </c>
      <c r="AE39" t="s">
        <v>46</v>
      </c>
      <c r="AF39" t="s">
        <v>46</v>
      </c>
      <c r="AG39" t="s">
        <v>46</v>
      </c>
      <c r="AH39" t="s">
        <v>46</v>
      </c>
      <c r="AI39" t="s">
        <v>46</v>
      </c>
    </row>
    <row r="40" spans="1:51" ht="20" x14ac:dyDescent="0.2">
      <c r="A40" s="7" t="s">
        <v>27</v>
      </c>
      <c r="AD40" t="s">
        <v>37</v>
      </c>
      <c r="AE40" t="s">
        <v>38</v>
      </c>
      <c r="AF40" t="s">
        <v>43</v>
      </c>
      <c r="AG40" t="s">
        <v>43</v>
      </c>
      <c r="AH40" t="s">
        <v>44</v>
      </c>
      <c r="AI40" t="s">
        <v>44</v>
      </c>
      <c r="AJ40" t="s">
        <v>44</v>
      </c>
      <c r="AK40" t="s">
        <v>44</v>
      </c>
      <c r="AL40" t="s">
        <v>39</v>
      </c>
      <c r="AM40" t="s">
        <v>41</v>
      </c>
    </row>
    <row r="41" spans="1:51" ht="20" x14ac:dyDescent="0.2">
      <c r="A41" s="7" t="s">
        <v>28</v>
      </c>
      <c r="AE41" t="s">
        <v>37</v>
      </c>
      <c r="AF41" t="s">
        <v>43</v>
      </c>
      <c r="AG41" t="s">
        <v>43</v>
      </c>
      <c r="AH41" t="s">
        <v>38</v>
      </c>
      <c r="AI41" t="s">
        <v>43</v>
      </c>
      <c r="AJ41" t="s">
        <v>43</v>
      </c>
      <c r="AK41" t="s">
        <v>43</v>
      </c>
      <c r="AL41" s="10" t="s">
        <v>44</v>
      </c>
      <c r="AM41" s="10" t="s">
        <v>44</v>
      </c>
      <c r="AN41" s="10" t="s">
        <v>44</v>
      </c>
      <c r="AO41" s="10" t="s">
        <v>44</v>
      </c>
      <c r="AP41" s="11" t="s">
        <v>39</v>
      </c>
      <c r="AQ41" s="11" t="s">
        <v>41</v>
      </c>
    </row>
    <row r="42" spans="1:51" ht="20" x14ac:dyDescent="0.2">
      <c r="A42" s="7" t="s">
        <v>29</v>
      </c>
      <c r="AH42" t="s">
        <v>37</v>
      </c>
      <c r="AI42" t="s">
        <v>43</v>
      </c>
      <c r="AJ42" t="s">
        <v>43</v>
      </c>
      <c r="AK42" t="s">
        <v>43</v>
      </c>
      <c r="AL42" t="s">
        <v>38</v>
      </c>
      <c r="AM42" t="s">
        <v>43</v>
      </c>
      <c r="AN42" t="s">
        <v>43</v>
      </c>
      <c r="AO42" t="s">
        <v>43</v>
      </c>
      <c r="AP42" t="s">
        <v>40</v>
      </c>
      <c r="AQ42" t="s">
        <v>39</v>
      </c>
      <c r="AR42" t="s">
        <v>41</v>
      </c>
    </row>
    <row r="43" spans="1:51" ht="20" x14ac:dyDescent="0.2">
      <c r="A43" s="7" t="s">
        <v>30</v>
      </c>
      <c r="AL43" t="s">
        <v>37</v>
      </c>
      <c r="AM43" t="s">
        <v>43</v>
      </c>
      <c r="AN43" t="s">
        <v>43</v>
      </c>
      <c r="AO43" t="s">
        <v>43</v>
      </c>
      <c r="AP43" t="s">
        <v>38</v>
      </c>
      <c r="AQ43" t="s">
        <v>40</v>
      </c>
      <c r="AR43" t="s">
        <v>39</v>
      </c>
      <c r="AS43" t="s">
        <v>41</v>
      </c>
    </row>
    <row r="44" spans="1:51" ht="20" x14ac:dyDescent="0.2">
      <c r="A44" s="7" t="s">
        <v>31</v>
      </c>
      <c r="AP44" t="s">
        <v>37</v>
      </c>
      <c r="AQ44" t="s">
        <v>38</v>
      </c>
      <c r="AR44" t="s">
        <v>40</v>
      </c>
      <c r="AS44" t="s">
        <v>46</v>
      </c>
      <c r="AT44" t="s">
        <v>46</v>
      </c>
    </row>
    <row r="45" spans="1:51" ht="20" x14ac:dyDescent="0.2">
      <c r="A45" s="7"/>
    </row>
    <row r="46" spans="1:51" ht="20" x14ac:dyDescent="0.2">
      <c r="A46" s="7" t="s">
        <v>8</v>
      </c>
    </row>
    <row r="47" spans="1:51" ht="20" x14ac:dyDescent="0.2">
      <c r="A47" s="7" t="s">
        <v>32</v>
      </c>
      <c r="AQ47" t="s">
        <v>37</v>
      </c>
      <c r="AR47" t="s">
        <v>38</v>
      </c>
      <c r="AS47" t="s">
        <v>40</v>
      </c>
      <c r="AT47" t="s">
        <v>39</v>
      </c>
      <c r="AU47" t="s">
        <v>41</v>
      </c>
    </row>
    <row r="48" spans="1:51" ht="20" x14ac:dyDescent="0.2">
      <c r="A48" s="7" t="s">
        <v>33</v>
      </c>
      <c r="AR48" t="s">
        <v>37</v>
      </c>
      <c r="AS48" t="s">
        <v>38</v>
      </c>
      <c r="AT48" s="10" t="s">
        <v>44</v>
      </c>
      <c r="AU48" s="10" t="s">
        <v>44</v>
      </c>
      <c r="AV48" s="10" t="s">
        <v>44</v>
      </c>
      <c r="AW48" s="10" t="s">
        <v>44</v>
      </c>
      <c r="AX48" s="11" t="s">
        <v>39</v>
      </c>
      <c r="AY48" s="11" t="s">
        <v>41</v>
      </c>
    </row>
    <row r="49" spans="1:54" ht="20" x14ac:dyDescent="0.2">
      <c r="A49" s="7"/>
    </row>
    <row r="50" spans="1:54" ht="20" x14ac:dyDescent="0.2">
      <c r="A50" s="7" t="s">
        <v>34</v>
      </c>
      <c r="AR50" t="s">
        <v>37</v>
      </c>
      <c r="AS50" t="s">
        <v>43</v>
      </c>
      <c r="AT50" t="s">
        <v>43</v>
      </c>
      <c r="AU50" t="s">
        <v>43</v>
      </c>
      <c r="AV50" t="s">
        <v>43</v>
      </c>
      <c r="AW50" t="s">
        <v>38</v>
      </c>
      <c r="AX50" t="s">
        <v>40</v>
      </c>
      <c r="AY50" t="s">
        <v>39</v>
      </c>
      <c r="AZ50" t="s">
        <v>41</v>
      </c>
    </row>
    <row r="51" spans="1:54" ht="20" x14ac:dyDescent="0.2">
      <c r="A51" s="7" t="s">
        <v>35</v>
      </c>
      <c r="AW51" t="s">
        <v>37</v>
      </c>
      <c r="AX51" t="s">
        <v>38</v>
      </c>
      <c r="AY51" t="s">
        <v>40</v>
      </c>
      <c r="AZ51" t="s">
        <v>39</v>
      </c>
      <c r="BA51" t="s">
        <v>41</v>
      </c>
    </row>
    <row r="52" spans="1:54" ht="20" x14ac:dyDescent="0.2">
      <c r="A52" s="7" t="s">
        <v>36</v>
      </c>
      <c r="AX52" t="s">
        <v>37</v>
      </c>
      <c r="AY52" t="s">
        <v>38</v>
      </c>
      <c r="AZ52" t="s">
        <v>40</v>
      </c>
      <c r="BA52" t="s">
        <v>39</v>
      </c>
      <c r="BB52" t="s">
        <v>41</v>
      </c>
    </row>
  </sheetData>
  <mergeCells count="5">
    <mergeCell ref="AS17:AT17"/>
    <mergeCell ref="AS18:AT18"/>
    <mergeCell ref="AS19:AT19"/>
    <mergeCell ref="AS20:AT20"/>
    <mergeCell ref="AS22:AT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IMPROVED</vt:lpstr>
      <vt:lpstr>UNROLLING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Ongaro - andrea.ongaro2@studio.unibo.it</dc:creator>
  <cp:lastModifiedBy>Andrea Ongaro - andrea.ongaro2@studio.unibo.it</cp:lastModifiedBy>
  <dcterms:created xsi:type="dcterms:W3CDTF">2025-11-02T09:12:16Z</dcterms:created>
  <dcterms:modified xsi:type="dcterms:W3CDTF">2025-11-02T15:54:46Z</dcterms:modified>
</cp:coreProperties>
</file>